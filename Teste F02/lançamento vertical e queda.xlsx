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valeovil-my.sharepoint.com/personal/josegoncalves_valeovil_onmicrosoft_com/Documents/Documentos/2024-2025/Testes 11 Ano/Teste F01/"/>
    </mc:Choice>
  </mc:AlternateContent>
  <xr:revisionPtr revIDLastSave="81" documentId="11_F25DC773A252ABDACC104893795F500A5ADE58F3" xr6:coauthVersionLast="47" xr6:coauthVersionMax="47" xr10:uidLastSave="{519C64C4-3290-48EB-B876-BDC186EF4E38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dt">Sheet1!$B$5</definedName>
    <definedName name="g">Sheet1!$B$6</definedName>
    <definedName name="v0A">Sheet1!$B$1</definedName>
    <definedName name="v0B">Sheet1!$B$2</definedName>
    <definedName name="y0A">Sheet1!$B$3</definedName>
    <definedName name="y0B">Sheet1!$B$4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A10" i="1"/>
  <c r="D10" i="1" s="1"/>
  <c r="B9" i="1"/>
  <c r="A11" i="1" l="1"/>
  <c r="A12" i="1" s="1"/>
  <c r="A13" i="1" s="1"/>
  <c r="E12" i="1"/>
  <c r="B11" i="1"/>
  <c r="B10" i="1"/>
  <c r="E11" i="1"/>
  <c r="D11" i="1"/>
  <c r="C11" i="1"/>
  <c r="E10" i="1"/>
  <c r="C10" i="1"/>
  <c r="B12" i="1" l="1"/>
  <c r="D12" i="1"/>
  <c r="C12" i="1"/>
  <c r="A14" i="1"/>
  <c r="C13" i="1"/>
  <c r="D13" i="1"/>
  <c r="E13" i="1"/>
  <c r="B13" i="1"/>
  <c r="A15" i="1" l="1"/>
  <c r="C14" i="1"/>
  <c r="E14" i="1"/>
  <c r="D14" i="1"/>
  <c r="B14" i="1"/>
  <c r="A16" i="1" l="1"/>
  <c r="D15" i="1"/>
  <c r="B15" i="1"/>
  <c r="C15" i="1"/>
  <c r="E15" i="1"/>
  <c r="A17" i="1" l="1"/>
  <c r="D16" i="1"/>
  <c r="B16" i="1"/>
  <c r="E16" i="1"/>
  <c r="C16" i="1"/>
  <c r="A18" i="1" l="1"/>
  <c r="B17" i="1"/>
  <c r="D17" i="1"/>
  <c r="E17" i="1"/>
  <c r="C17" i="1"/>
  <c r="A19" i="1" l="1"/>
  <c r="B18" i="1"/>
  <c r="D18" i="1"/>
  <c r="C18" i="1"/>
  <c r="E18" i="1"/>
  <c r="A20" i="1" l="1"/>
  <c r="B19" i="1"/>
  <c r="C19" i="1"/>
  <c r="D19" i="1"/>
  <c r="E19" i="1"/>
  <c r="A21" i="1" l="1"/>
  <c r="B20" i="1"/>
  <c r="D20" i="1"/>
  <c r="E20" i="1"/>
  <c r="C20" i="1"/>
  <c r="A22" i="1" l="1"/>
  <c r="E21" i="1"/>
  <c r="C21" i="1"/>
  <c r="B21" i="1"/>
  <c r="D21" i="1"/>
  <c r="A23" i="1" l="1"/>
  <c r="D22" i="1"/>
  <c r="C22" i="1"/>
  <c r="E22" i="1"/>
  <c r="B22" i="1"/>
  <c r="A24" i="1" l="1"/>
  <c r="C23" i="1"/>
  <c r="D23" i="1"/>
  <c r="E23" i="1"/>
  <c r="B23" i="1"/>
  <c r="A25" i="1" l="1"/>
  <c r="C24" i="1"/>
  <c r="D24" i="1"/>
  <c r="E24" i="1"/>
  <c r="B24" i="1"/>
  <c r="A26" i="1" l="1"/>
  <c r="C25" i="1"/>
  <c r="B25" i="1"/>
  <c r="D25" i="1"/>
  <c r="E25" i="1"/>
  <c r="A27" i="1" l="1"/>
  <c r="D26" i="1"/>
  <c r="C26" i="1"/>
  <c r="E26" i="1"/>
  <c r="B26" i="1"/>
  <c r="A28" i="1" l="1"/>
  <c r="D27" i="1"/>
  <c r="E27" i="1"/>
  <c r="C27" i="1"/>
  <c r="B27" i="1"/>
  <c r="A29" i="1" l="1"/>
  <c r="D28" i="1"/>
  <c r="B28" i="1"/>
  <c r="E28" i="1"/>
  <c r="C28" i="1"/>
  <c r="A30" i="1" l="1"/>
  <c r="B29" i="1"/>
  <c r="D29" i="1"/>
  <c r="E29" i="1"/>
  <c r="C29" i="1"/>
  <c r="A31" i="1" l="1"/>
  <c r="B30" i="1"/>
  <c r="D30" i="1"/>
  <c r="E30" i="1"/>
  <c r="C30" i="1"/>
  <c r="A32" i="1" l="1"/>
  <c r="B31" i="1"/>
  <c r="C31" i="1"/>
  <c r="D31" i="1"/>
  <c r="E31" i="1"/>
  <c r="A33" i="1" l="1"/>
  <c r="B32" i="1"/>
  <c r="D32" i="1"/>
  <c r="E32" i="1"/>
  <c r="C32" i="1"/>
  <c r="A34" i="1" l="1"/>
  <c r="D33" i="1"/>
  <c r="B33" i="1"/>
  <c r="E33" i="1"/>
  <c r="C33" i="1"/>
  <c r="A35" i="1" l="1"/>
  <c r="D34" i="1"/>
  <c r="C34" i="1"/>
  <c r="E34" i="1"/>
  <c r="B34" i="1"/>
  <c r="A36" i="1" l="1"/>
  <c r="C35" i="1"/>
  <c r="D35" i="1"/>
  <c r="E35" i="1"/>
  <c r="B35" i="1"/>
  <c r="A37" i="1" l="1"/>
  <c r="C36" i="1"/>
  <c r="D36" i="1"/>
  <c r="B36" i="1"/>
  <c r="E36" i="1"/>
  <c r="A38" i="1" l="1"/>
  <c r="C37" i="1"/>
  <c r="D37" i="1"/>
  <c r="E37" i="1"/>
  <c r="B37" i="1"/>
  <c r="C38" i="1" l="1"/>
  <c r="B38" i="1"/>
  <c r="D38" i="1"/>
  <c r="E38" i="1"/>
</calcChain>
</file>

<file path=xl/sharedStrings.xml><?xml version="1.0" encoding="utf-8"?>
<sst xmlns="http://schemas.openxmlformats.org/spreadsheetml/2006/main" count="17" uniqueCount="15">
  <si>
    <t>v0A</t>
  </si>
  <si>
    <t>v0B</t>
  </si>
  <si>
    <t>m/s</t>
  </si>
  <si>
    <t>y0A</t>
  </si>
  <si>
    <t>m</t>
  </si>
  <si>
    <t>y0B</t>
  </si>
  <si>
    <t>t/s</t>
  </si>
  <si>
    <t>dt</t>
  </si>
  <si>
    <t>s</t>
  </si>
  <si>
    <t>g</t>
  </si>
  <si>
    <t>m/s2</t>
  </si>
  <si>
    <t>yA/m</t>
  </si>
  <si>
    <t>yB/m</t>
  </si>
  <si>
    <t>vA/(m/s)</t>
  </si>
  <si>
    <t>vB/(m/s)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</si>
</sst>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FB6BFB-8B66-4FFC-ABAC-7261422654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yA/m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Sheet1!$A$9:$A$38</c:f>
              <c:numCache>
                <c:formatCode>0.00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xVal>
          <c:yVal>
            <c:numRef>
              <c:f>Sheet1!$B$9:$B$38</c:f>
              <c:numCache>
                <c:formatCode>0.00</c:formatCode>
                <c:ptCount val="30"/>
                <c:pt idx="0">
                  <c:v>2</c:v>
                </c:pt>
                <c:pt idx="1">
                  <c:v>1.9877374999999999</c:v>
                </c:pt>
                <c:pt idx="2">
                  <c:v>1.95095</c:v>
                </c:pt>
                <c:pt idx="3">
                  <c:v>1.8896375000000001</c:v>
                </c:pt>
                <c:pt idx="4">
                  <c:v>1.8037999999999998</c:v>
                </c:pt>
                <c:pt idx="5">
                  <c:v>1.6934374999999999</c:v>
                </c:pt>
                <c:pt idx="6">
                  <c:v>1.5585499999999999</c:v>
                </c:pt>
                <c:pt idx="7">
                  <c:v>1.3991375000000001</c:v>
                </c:pt>
                <c:pt idx="8">
                  <c:v>1.2152000000000001</c:v>
                </c:pt>
                <c:pt idx="9">
                  <c:v>1.0067375000000003</c:v>
                </c:pt>
                <c:pt idx="10">
                  <c:v>0.77375000000000016</c:v>
                </c:pt>
                <c:pt idx="11">
                  <c:v>0.51623750000000035</c:v>
                </c:pt>
                <c:pt idx="12">
                  <c:v>0.23419999999999996</c:v>
                </c:pt>
                <c:pt idx="13">
                  <c:v>-7.2362500000000107E-2</c:v>
                </c:pt>
                <c:pt idx="14">
                  <c:v>-0.40345000000000075</c:v>
                </c:pt>
                <c:pt idx="15">
                  <c:v>-0.75906250000000108</c:v>
                </c:pt>
                <c:pt idx="16">
                  <c:v>-1.1392000000000011</c:v>
                </c:pt>
                <c:pt idx="17">
                  <c:v>-1.5438625000000021</c:v>
                </c:pt>
                <c:pt idx="18">
                  <c:v>-1.973050000000002</c:v>
                </c:pt>
                <c:pt idx="19">
                  <c:v>-2.4267625000000024</c:v>
                </c:pt>
                <c:pt idx="20">
                  <c:v>-2.905000000000002</c:v>
                </c:pt>
                <c:pt idx="21">
                  <c:v>-3.4077625000000022</c:v>
                </c:pt>
                <c:pt idx="22">
                  <c:v>-3.935050000000003</c:v>
                </c:pt>
                <c:pt idx="23">
                  <c:v>-4.4868625000000044</c:v>
                </c:pt>
                <c:pt idx="24">
                  <c:v>-5.0632000000000055</c:v>
                </c:pt>
                <c:pt idx="25">
                  <c:v>-5.6640625000000062</c:v>
                </c:pt>
                <c:pt idx="26">
                  <c:v>-6.2894500000000075</c:v>
                </c:pt>
                <c:pt idx="27">
                  <c:v>-6.9393625000000068</c:v>
                </c:pt>
                <c:pt idx="28">
                  <c:v>-7.6138000000000083</c:v>
                </c:pt>
                <c:pt idx="29">
                  <c:v>-8.3127625000000087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5-4B5A-8664-A99C9A9EC43B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yB/m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Sheet1!$A$9:$A$38</c:f>
              <c:numCache>
                <c:formatCode>0.00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xVal>
          <c:yVal>
            <c:numRef>
              <c:f>Sheet1!$C$9:$C$38</c:f>
              <c:numCache>
                <c:formatCode>0.00</c:formatCode>
                <c:ptCount val="30"/>
                <c:pt idx="0">
                  <c:v>0</c:v>
                </c:pt>
                <c:pt idx="1">
                  <c:v>0.23773749999999999</c:v>
                </c:pt>
                <c:pt idx="2">
                  <c:v>0.45094999999999996</c:v>
                </c:pt>
                <c:pt idx="3">
                  <c:v>0.63963750000000008</c:v>
                </c:pt>
                <c:pt idx="4">
                  <c:v>0.80379999999999996</c:v>
                </c:pt>
                <c:pt idx="5">
                  <c:v>0.94343749999999993</c:v>
                </c:pt>
                <c:pt idx="6">
                  <c:v>1.0585499999999999</c:v>
                </c:pt>
                <c:pt idx="7">
                  <c:v>1.1491375000000001</c:v>
                </c:pt>
                <c:pt idx="8">
                  <c:v>1.2151999999999998</c:v>
                </c:pt>
                <c:pt idx="9">
                  <c:v>1.2567375000000003</c:v>
                </c:pt>
                <c:pt idx="10">
                  <c:v>1.2737499999999997</c:v>
                </c:pt>
                <c:pt idx="11">
                  <c:v>1.2662374999999999</c:v>
                </c:pt>
                <c:pt idx="12">
                  <c:v>1.2342</c:v>
                </c:pt>
                <c:pt idx="13">
                  <c:v>1.1776374999999999</c:v>
                </c:pt>
                <c:pt idx="14">
                  <c:v>1.0965499999999997</c:v>
                </c:pt>
                <c:pt idx="15">
                  <c:v>0.99093749999999936</c:v>
                </c:pt>
                <c:pt idx="16">
                  <c:v>0.86079999999999979</c:v>
                </c:pt>
                <c:pt idx="17">
                  <c:v>0.70613749999999875</c:v>
                </c:pt>
                <c:pt idx="18">
                  <c:v>0.52694999999999892</c:v>
                </c:pt>
                <c:pt idx="19">
                  <c:v>0.3232374999999994</c:v>
                </c:pt>
                <c:pt idx="20">
                  <c:v>9.4999999999998863E-2</c:v>
                </c:pt>
                <c:pt idx="21">
                  <c:v>-0.15776250000000047</c:v>
                </c:pt>
                <c:pt idx="22">
                  <c:v>-0.43505000000000127</c:v>
                </c:pt>
                <c:pt idx="23">
                  <c:v>-0.73686250000000264</c:v>
                </c:pt>
                <c:pt idx="24">
                  <c:v>-1.0632000000000037</c:v>
                </c:pt>
                <c:pt idx="25">
                  <c:v>-1.4140625000000044</c:v>
                </c:pt>
                <c:pt idx="26">
                  <c:v>-1.7894500000000049</c:v>
                </c:pt>
                <c:pt idx="27">
                  <c:v>-2.1893625000000041</c:v>
                </c:pt>
                <c:pt idx="28">
                  <c:v>-2.6138000000000057</c:v>
                </c:pt>
                <c:pt idx="29">
                  <c:v>-3.0627625000000052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95-4B5A-8664-A99C9A9EC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251264"/>
        <c:axId val="1842241664"/>
      </c:scatterChart>
      <c:valAx>
        <c:axId val="184225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i="1"/>
                  <a:t>t </a:t>
                </a:r>
                <a:r>
                  <a:rPr lang="pt-PT"/>
                  <a:t>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42241664"/>
        <c:crosses val="autoZero"/>
        <c:crossBetween val="midCat"/>
      </c:valAx>
      <c:valAx>
        <c:axId val="18422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i="1"/>
                  <a:t>y</a:t>
                </a:r>
                <a:r>
                  <a:rPr lang="pt-PT" i="0"/>
                  <a:t> / m</a:t>
                </a:r>
                <a:endParaRPr lang="pt-PT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4225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Sheet1!$D$8</c:f>
              <c:strCache>
                <c:ptCount val="1"/>
                <c:pt idx="0">
                  <c:v>vA/(m/s)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Sheet1!$A$9:$A$38</c:f>
              <c:numCache>
                <c:formatCode>0.00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xVal>
          <c:yVal>
            <c:numRef>
              <c:f>Sheet1!$D$9:$D$38</c:f>
              <c:numCache>
                <c:formatCode>0.00</c:formatCode>
                <c:ptCount val="30"/>
                <c:pt idx="0">
                  <c:v>0</c:v>
                </c:pt>
                <c:pt idx="1">
                  <c:v>-0.49050000000000005</c:v>
                </c:pt>
                <c:pt idx="2">
                  <c:v>-0.98100000000000009</c:v>
                </c:pt>
                <c:pt idx="3">
                  <c:v>-1.4715000000000003</c:v>
                </c:pt>
                <c:pt idx="4">
                  <c:v>-1.9620000000000002</c:v>
                </c:pt>
                <c:pt idx="5">
                  <c:v>-2.4525000000000001</c:v>
                </c:pt>
                <c:pt idx="6">
                  <c:v>-2.9430000000000001</c:v>
                </c:pt>
                <c:pt idx="7">
                  <c:v>-3.4335</c:v>
                </c:pt>
                <c:pt idx="8">
                  <c:v>-3.9239999999999999</c:v>
                </c:pt>
                <c:pt idx="9">
                  <c:v>-4.4144999999999994</c:v>
                </c:pt>
                <c:pt idx="10">
                  <c:v>-4.9049999999999994</c:v>
                </c:pt>
                <c:pt idx="11">
                  <c:v>-5.3954999999999993</c:v>
                </c:pt>
                <c:pt idx="12">
                  <c:v>-5.8860000000000001</c:v>
                </c:pt>
                <c:pt idx="13">
                  <c:v>-6.3765000000000009</c:v>
                </c:pt>
                <c:pt idx="14">
                  <c:v>-6.8670000000000009</c:v>
                </c:pt>
                <c:pt idx="15">
                  <c:v>-7.3575000000000017</c:v>
                </c:pt>
                <c:pt idx="16">
                  <c:v>-7.8480000000000016</c:v>
                </c:pt>
                <c:pt idx="17">
                  <c:v>-8.3385000000000016</c:v>
                </c:pt>
                <c:pt idx="18">
                  <c:v>-8.8290000000000024</c:v>
                </c:pt>
                <c:pt idx="19">
                  <c:v>-9.3195000000000032</c:v>
                </c:pt>
                <c:pt idx="20">
                  <c:v>-9.8100000000000023</c:v>
                </c:pt>
                <c:pt idx="21">
                  <c:v>-10.300500000000003</c:v>
                </c:pt>
                <c:pt idx="22">
                  <c:v>-10.791000000000004</c:v>
                </c:pt>
                <c:pt idx="23">
                  <c:v>-11.281500000000005</c:v>
                </c:pt>
                <c:pt idx="24">
                  <c:v>-11.772000000000004</c:v>
                </c:pt>
                <c:pt idx="25">
                  <c:v>-12.262500000000005</c:v>
                </c:pt>
                <c:pt idx="26">
                  <c:v>-12.753000000000005</c:v>
                </c:pt>
                <c:pt idx="27">
                  <c:v>-13.243500000000006</c:v>
                </c:pt>
                <c:pt idx="28">
                  <c:v>-13.734000000000007</c:v>
                </c:pt>
                <c:pt idx="29">
                  <c:v>-14.224500000000006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8-48C3-AF9C-8753EB9665A6}"/>
            </c:ext>
          </c:extLst>
        </c:ser>
        <c:ser>
          <c:idx val="1"/>
          <c:order val="1"/>
          <c:tx>
            <c:strRef>
              <c:f>Sheet1!$E$8</c:f>
              <c:strCache>
                <c:ptCount val="1"/>
                <c:pt idx="0">
                  <c:v>vB/(m/s)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Sheet1!$A$9:$A$38</c:f>
              <c:numCache>
                <c:formatCode>0.00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xVal>
          <c:yVal>
            <c:numRef>
              <c:f>Sheet1!$E$9:$E$38</c:f>
              <c:numCache>
                <c:formatCode>0.00</c:formatCode>
                <c:ptCount val="30"/>
                <c:pt idx="0">
                  <c:v>5</c:v>
                </c:pt>
                <c:pt idx="1">
                  <c:v>4.5095000000000001</c:v>
                </c:pt>
                <c:pt idx="2">
                  <c:v>4.0190000000000001</c:v>
                </c:pt>
                <c:pt idx="3">
                  <c:v>3.5284999999999997</c:v>
                </c:pt>
                <c:pt idx="4">
                  <c:v>3.0379999999999998</c:v>
                </c:pt>
                <c:pt idx="5">
                  <c:v>2.5474999999999999</c:v>
                </c:pt>
                <c:pt idx="6">
                  <c:v>2.0569999999999999</c:v>
                </c:pt>
                <c:pt idx="7">
                  <c:v>1.5665</c:v>
                </c:pt>
                <c:pt idx="8">
                  <c:v>1.0760000000000001</c:v>
                </c:pt>
                <c:pt idx="9">
                  <c:v>0.58550000000000058</c:v>
                </c:pt>
                <c:pt idx="10">
                  <c:v>9.5000000000000639E-2</c:v>
                </c:pt>
                <c:pt idx="11">
                  <c:v>-0.3954999999999993</c:v>
                </c:pt>
                <c:pt idx="12">
                  <c:v>-0.88600000000000012</c:v>
                </c:pt>
                <c:pt idx="13">
                  <c:v>-1.3765000000000009</c:v>
                </c:pt>
                <c:pt idx="14">
                  <c:v>-1.8670000000000009</c:v>
                </c:pt>
                <c:pt idx="15">
                  <c:v>-2.3575000000000017</c:v>
                </c:pt>
                <c:pt idx="16">
                  <c:v>-2.8480000000000016</c:v>
                </c:pt>
                <c:pt idx="17">
                  <c:v>-3.3385000000000016</c:v>
                </c:pt>
                <c:pt idx="18">
                  <c:v>-3.8290000000000024</c:v>
                </c:pt>
                <c:pt idx="19">
                  <c:v>-4.3195000000000032</c:v>
                </c:pt>
                <c:pt idx="20">
                  <c:v>-4.8100000000000023</c:v>
                </c:pt>
                <c:pt idx="21">
                  <c:v>-5.3005000000000031</c:v>
                </c:pt>
                <c:pt idx="22">
                  <c:v>-5.7910000000000039</c:v>
                </c:pt>
                <c:pt idx="23">
                  <c:v>-6.2815000000000047</c:v>
                </c:pt>
                <c:pt idx="24">
                  <c:v>-6.7720000000000038</c:v>
                </c:pt>
                <c:pt idx="25">
                  <c:v>-7.2625000000000046</c:v>
                </c:pt>
                <c:pt idx="26">
                  <c:v>-7.7530000000000054</c:v>
                </c:pt>
                <c:pt idx="27">
                  <c:v>-8.2435000000000063</c:v>
                </c:pt>
                <c:pt idx="28">
                  <c:v>-8.7340000000000071</c:v>
                </c:pt>
                <c:pt idx="29">
                  <c:v>-9.2245000000000061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8-48C3-AF9C-8753EB966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116671"/>
        <c:axId val="883117151"/>
      </c:scatterChart>
      <c:valAx>
        <c:axId val="88311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i="1"/>
                  <a:t>t</a:t>
                </a:r>
                <a:r>
                  <a:rPr lang="pt-PT" i="0"/>
                  <a:t> / s</a:t>
                </a:r>
                <a:endParaRPr lang="pt-PT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83117151"/>
        <c:crosses val="autoZero"/>
        <c:crossBetween val="midCat"/>
      </c:valAx>
      <c:valAx>
        <c:axId val="88311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i="1"/>
                  <a:t>v</a:t>
                </a:r>
                <a:r>
                  <a:rPr lang="pt-PT" i="0"/>
                  <a:t> / m s</a:t>
                </a:r>
                <a:r>
                  <a:rPr lang="pt-PT" i="0" baseline="30000"/>
                  <a:t>-1</a:t>
                </a:r>
                <a:endParaRPr lang="pt-PT" i="1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8311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5</xdr:row>
      <xdr:rowOff>44767</xdr:rowOff>
    </xdr:from>
    <xdr:to>
      <xdr:col>18</xdr:col>
      <xdr:colOff>333375</xdr:colOff>
      <xdr:row>20</xdr:row>
      <xdr:rowOff>73342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FD06A7-0701-839E-691A-8795CA954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21</xdr:row>
      <xdr:rowOff>82867</xdr:rowOff>
    </xdr:from>
    <xdr:to>
      <xdr:col>18</xdr:col>
      <xdr:colOff>323850</xdr:colOff>
      <xdr:row>36</xdr:row>
      <xdr:rowOff>111442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EBC95C-BB13-6C3F-7A35-5BFC89149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H15" sqref="H15"/>
    </sheetView>
  </sheetViews>
  <sheetFormatPr defaultRowHeight="14.4" x14ac:dyDescent="0.3"/>
  <sheetData>
    <row r="1" spans="1:5" x14ac:dyDescent="0.3">
      <c r="A1" t="s">
        <v>0</v>
      </c>
      <c r="B1">
        <v>0</v>
      </c>
      <c r="C1" t="s">
        <v>2</v>
      </c>
    </row>
    <row r="2" spans="1:5" x14ac:dyDescent="0.3">
      <c r="A2" t="s">
        <v>1</v>
      </c>
      <c r="B2">
        <v>5</v>
      </c>
      <c r="C2" t="s">
        <v>2</v>
      </c>
    </row>
    <row r="3" spans="1:5" x14ac:dyDescent="0.3">
      <c r="A3" t="s">
        <v>3</v>
      </c>
      <c r="B3">
        <v>2</v>
      </c>
      <c r="C3" t="s">
        <v>4</v>
      </c>
    </row>
    <row r="4" spans="1:5" x14ac:dyDescent="0.3">
      <c r="A4" t="s">
        <v>5</v>
      </c>
      <c r="B4">
        <v>0</v>
      </c>
      <c r="C4" t="s">
        <v>4</v>
      </c>
    </row>
    <row r="5" spans="1:5" x14ac:dyDescent="0.3">
      <c r="A5" t="s">
        <v>7</v>
      </c>
      <c r="B5">
        <v>0.05</v>
      </c>
      <c r="C5" t="s">
        <v>8</v>
      </c>
    </row>
    <row r="6" spans="1:5" x14ac:dyDescent="0.3">
      <c r="A6" t="s">
        <v>9</v>
      </c>
      <c r="B6">
        <v>9.81</v>
      </c>
      <c r="C6" t="s">
        <v>10</v>
      </c>
    </row>
    <row r="8" spans="1:5" x14ac:dyDescent="0.3">
      <c r="A8" t="s">
        <v>6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3">
      <c r="A9" s="1">
        <v>0</v>
      </c>
      <c r="B9" s="1">
        <f t="shared" ref="B9:B38" si="0">y0A+v0A*A9-0.5*g*A9^2</f>
        <v>2</v>
      </c>
      <c r="C9" s="1">
        <f t="shared" ref="C9:C38" si="1">y0B+v0B*A9-0.5*g*A9^2</f>
        <v>0</v>
      </c>
      <c r="D9" s="1">
        <f t="shared" ref="D9:D38" si="2">v0A-g*A9</f>
        <v>0</v>
      </c>
      <c r="E9" s="1">
        <f t="shared" ref="E9:E38" si="3">v0B-g*A9</f>
        <v>5</v>
      </c>
    </row>
    <row r="10" spans="1:5" x14ac:dyDescent="0.3">
      <c r="A10" s="1">
        <f t="shared" ref="A10:A38" si="4">A9+dt</f>
        <v>0.05</v>
      </c>
      <c r="B10" s="1">
        <f t="shared" si="0"/>
        <v>1.9877374999999999</v>
      </c>
      <c r="C10" s="1">
        <f t="shared" si="1"/>
        <v>0.23773749999999999</v>
      </c>
      <c r="D10" s="1">
        <f t="shared" si="2"/>
        <v>-0.49050000000000005</v>
      </c>
      <c r="E10" s="1">
        <f t="shared" si="3"/>
        <v>4.5095000000000001</v>
      </c>
    </row>
    <row r="11" spans="1:5" x14ac:dyDescent="0.3">
      <c r="A11" s="1">
        <f t="shared" si="4"/>
        <v>0.1</v>
      </c>
      <c r="B11" s="1">
        <f t="shared" si="0"/>
        <v>1.95095</v>
      </c>
      <c r="C11" s="1">
        <f t="shared" si="1"/>
        <v>0.45094999999999996</v>
      </c>
      <c r="D11" s="1">
        <f t="shared" si="2"/>
        <v>-0.98100000000000009</v>
      </c>
      <c r="E11" s="1">
        <f t="shared" si="3"/>
        <v>4.0190000000000001</v>
      </c>
    </row>
    <row r="12" spans="1:5" x14ac:dyDescent="0.3">
      <c r="A12" s="1">
        <f t="shared" si="4"/>
        <v>0.15000000000000002</v>
      </c>
      <c r="B12" s="1">
        <f t="shared" si="0"/>
        <v>1.8896375000000001</v>
      </c>
      <c r="C12" s="1">
        <f t="shared" si="1"/>
        <v>0.63963750000000008</v>
      </c>
      <c r="D12" s="1">
        <f t="shared" si="2"/>
        <v>-1.4715000000000003</v>
      </c>
      <c r="E12" s="1">
        <f t="shared" si="3"/>
        <v>3.5284999999999997</v>
      </c>
    </row>
    <row r="13" spans="1:5" x14ac:dyDescent="0.3">
      <c r="A13" s="1">
        <f t="shared" si="4"/>
        <v>0.2</v>
      </c>
      <c r="B13" s="1">
        <f t="shared" si="0"/>
        <v>1.8037999999999998</v>
      </c>
      <c r="C13" s="1">
        <f t="shared" si="1"/>
        <v>0.80379999999999996</v>
      </c>
      <c r="D13" s="1">
        <f t="shared" si="2"/>
        <v>-1.9620000000000002</v>
      </c>
      <c r="E13" s="1">
        <f t="shared" si="3"/>
        <v>3.0379999999999998</v>
      </c>
    </row>
    <row r="14" spans="1:5" x14ac:dyDescent="0.3">
      <c r="A14" s="1">
        <f t="shared" si="4"/>
        <v>0.25</v>
      </c>
      <c r="B14" s="1">
        <f t="shared" si="0"/>
        <v>1.6934374999999999</v>
      </c>
      <c r="C14" s="1">
        <f t="shared" si="1"/>
        <v>0.94343749999999993</v>
      </c>
      <c r="D14" s="1">
        <f t="shared" si="2"/>
        <v>-2.4525000000000001</v>
      </c>
      <c r="E14" s="1">
        <f t="shared" si="3"/>
        <v>2.5474999999999999</v>
      </c>
    </row>
    <row r="15" spans="1:5" x14ac:dyDescent="0.3">
      <c r="A15" s="1">
        <f t="shared" si="4"/>
        <v>0.3</v>
      </c>
      <c r="B15" s="1">
        <f t="shared" si="0"/>
        <v>1.5585499999999999</v>
      </c>
      <c r="C15" s="1">
        <f t="shared" si="1"/>
        <v>1.0585499999999999</v>
      </c>
      <c r="D15" s="1">
        <f t="shared" si="2"/>
        <v>-2.9430000000000001</v>
      </c>
      <c r="E15" s="1">
        <f t="shared" si="3"/>
        <v>2.0569999999999999</v>
      </c>
    </row>
    <row r="16" spans="1:5" x14ac:dyDescent="0.3">
      <c r="A16" s="1">
        <f t="shared" si="4"/>
        <v>0.35</v>
      </c>
      <c r="B16" s="1">
        <f t="shared" si="0"/>
        <v>1.3991375000000001</v>
      </c>
      <c r="C16" s="1">
        <f t="shared" si="1"/>
        <v>1.1491375000000001</v>
      </c>
      <c r="D16" s="1">
        <f t="shared" si="2"/>
        <v>-3.4335</v>
      </c>
      <c r="E16" s="1">
        <f t="shared" si="3"/>
        <v>1.5665</v>
      </c>
    </row>
    <row r="17" spans="1:5" x14ac:dyDescent="0.3">
      <c r="A17" s="1">
        <f t="shared" si="4"/>
        <v>0.39999999999999997</v>
      </c>
      <c r="B17" s="1">
        <f t="shared" si="0"/>
        <v>1.2152000000000001</v>
      </c>
      <c r="C17" s="1">
        <f t="shared" si="1"/>
        <v>1.2151999999999998</v>
      </c>
      <c r="D17" s="1">
        <f t="shared" si="2"/>
        <v>-3.9239999999999999</v>
      </c>
      <c r="E17" s="1">
        <f t="shared" si="3"/>
        <v>1.0760000000000001</v>
      </c>
    </row>
    <row r="18" spans="1:5" x14ac:dyDescent="0.3">
      <c r="A18" s="1">
        <f t="shared" si="4"/>
        <v>0.44999999999999996</v>
      </c>
      <c r="B18" s="1">
        <f t="shared" si="0"/>
        <v>1.0067375000000003</v>
      </c>
      <c r="C18" s="1">
        <f t="shared" si="1"/>
        <v>1.2567375000000003</v>
      </c>
      <c r="D18" s="1">
        <f t="shared" si="2"/>
        <v>-4.4144999999999994</v>
      </c>
      <c r="E18" s="1">
        <f t="shared" si="3"/>
        <v>0.58550000000000058</v>
      </c>
    </row>
    <row r="19" spans="1:5" x14ac:dyDescent="0.3">
      <c r="A19" s="1">
        <f t="shared" si="4"/>
        <v>0.49999999999999994</v>
      </c>
      <c r="B19" s="1">
        <f t="shared" si="0"/>
        <v>0.77375000000000016</v>
      </c>
      <c r="C19" s="1">
        <f t="shared" si="1"/>
        <v>1.2737499999999997</v>
      </c>
      <c r="D19" s="1">
        <f t="shared" si="2"/>
        <v>-4.9049999999999994</v>
      </c>
      <c r="E19" s="1">
        <f t="shared" si="3"/>
        <v>9.5000000000000639E-2</v>
      </c>
    </row>
    <row r="20" spans="1:5" x14ac:dyDescent="0.3">
      <c r="A20" s="1">
        <f t="shared" si="4"/>
        <v>0.54999999999999993</v>
      </c>
      <c r="B20" s="1">
        <f t="shared" si="0"/>
        <v>0.51623750000000035</v>
      </c>
      <c r="C20" s="1">
        <f t="shared" si="1"/>
        <v>1.2662374999999999</v>
      </c>
      <c r="D20" s="1">
        <f t="shared" si="2"/>
        <v>-5.3954999999999993</v>
      </c>
      <c r="E20" s="1">
        <f t="shared" si="3"/>
        <v>-0.3954999999999993</v>
      </c>
    </row>
    <row r="21" spans="1:5" x14ac:dyDescent="0.3">
      <c r="A21" s="1">
        <f t="shared" si="4"/>
        <v>0.6</v>
      </c>
      <c r="B21" s="1">
        <f t="shared" si="0"/>
        <v>0.23419999999999996</v>
      </c>
      <c r="C21" s="1">
        <f t="shared" si="1"/>
        <v>1.2342</v>
      </c>
      <c r="D21" s="1">
        <f t="shared" si="2"/>
        <v>-5.8860000000000001</v>
      </c>
      <c r="E21" s="1">
        <f t="shared" si="3"/>
        <v>-0.88600000000000012</v>
      </c>
    </row>
    <row r="22" spans="1:5" x14ac:dyDescent="0.3">
      <c r="A22" s="1">
        <f t="shared" si="4"/>
        <v>0.65</v>
      </c>
      <c r="B22" s="1">
        <f t="shared" si="0"/>
        <v>-7.2362500000000107E-2</v>
      </c>
      <c r="C22" s="1">
        <f t="shared" si="1"/>
        <v>1.1776374999999999</v>
      </c>
      <c r="D22" s="1">
        <f t="shared" si="2"/>
        <v>-6.3765000000000009</v>
      </c>
      <c r="E22" s="1">
        <f t="shared" si="3"/>
        <v>-1.3765000000000009</v>
      </c>
    </row>
    <row r="23" spans="1:5" x14ac:dyDescent="0.3">
      <c r="A23" s="1">
        <f t="shared" si="4"/>
        <v>0.70000000000000007</v>
      </c>
      <c r="B23" s="1">
        <f t="shared" si="0"/>
        <v>-0.40345000000000075</v>
      </c>
      <c r="C23" s="1">
        <f t="shared" si="1"/>
        <v>1.0965499999999997</v>
      </c>
      <c r="D23" s="1">
        <f t="shared" si="2"/>
        <v>-6.8670000000000009</v>
      </c>
      <c r="E23" s="1">
        <f t="shared" si="3"/>
        <v>-1.8670000000000009</v>
      </c>
    </row>
    <row r="24" spans="1:5" x14ac:dyDescent="0.3">
      <c r="A24" s="1">
        <f t="shared" si="4"/>
        <v>0.75000000000000011</v>
      </c>
      <c r="B24" s="1">
        <f t="shared" si="0"/>
        <v>-0.75906250000000108</v>
      </c>
      <c r="C24" s="1">
        <f t="shared" si="1"/>
        <v>0.99093749999999936</v>
      </c>
      <c r="D24" s="1">
        <f t="shared" si="2"/>
        <v>-7.3575000000000017</v>
      </c>
      <c r="E24" s="1">
        <f t="shared" si="3"/>
        <v>-2.3575000000000017</v>
      </c>
    </row>
    <row r="25" spans="1:5" x14ac:dyDescent="0.3">
      <c r="A25" s="1">
        <f t="shared" si="4"/>
        <v>0.80000000000000016</v>
      </c>
      <c r="B25" s="1">
        <f t="shared" si="0"/>
        <v>-1.1392000000000011</v>
      </c>
      <c r="C25" s="1">
        <f t="shared" si="1"/>
        <v>0.86079999999999979</v>
      </c>
      <c r="D25" s="1">
        <f t="shared" si="2"/>
        <v>-7.8480000000000016</v>
      </c>
      <c r="E25" s="1">
        <f t="shared" si="3"/>
        <v>-2.8480000000000016</v>
      </c>
    </row>
    <row r="26" spans="1:5" x14ac:dyDescent="0.3">
      <c r="A26" s="1">
        <f t="shared" si="4"/>
        <v>0.8500000000000002</v>
      </c>
      <c r="B26" s="1">
        <f t="shared" si="0"/>
        <v>-1.5438625000000021</v>
      </c>
      <c r="C26" s="1">
        <f t="shared" si="1"/>
        <v>0.70613749999999875</v>
      </c>
      <c r="D26" s="1">
        <f t="shared" si="2"/>
        <v>-8.3385000000000016</v>
      </c>
      <c r="E26" s="1">
        <f t="shared" si="3"/>
        <v>-3.3385000000000016</v>
      </c>
    </row>
    <row r="27" spans="1:5" x14ac:dyDescent="0.3">
      <c r="A27" s="1">
        <f t="shared" si="4"/>
        <v>0.90000000000000024</v>
      </c>
      <c r="B27" s="1">
        <f t="shared" si="0"/>
        <v>-1.973050000000002</v>
      </c>
      <c r="C27" s="1">
        <f t="shared" si="1"/>
        <v>0.52694999999999892</v>
      </c>
      <c r="D27" s="1">
        <f t="shared" si="2"/>
        <v>-8.8290000000000024</v>
      </c>
      <c r="E27" s="1">
        <f t="shared" si="3"/>
        <v>-3.8290000000000024</v>
      </c>
    </row>
    <row r="28" spans="1:5" x14ac:dyDescent="0.3">
      <c r="A28" s="1">
        <f t="shared" si="4"/>
        <v>0.95000000000000029</v>
      </c>
      <c r="B28" s="1">
        <f t="shared" si="0"/>
        <v>-2.4267625000000024</v>
      </c>
      <c r="C28" s="1">
        <f t="shared" si="1"/>
        <v>0.3232374999999994</v>
      </c>
      <c r="D28" s="1">
        <f t="shared" si="2"/>
        <v>-9.3195000000000032</v>
      </c>
      <c r="E28" s="1">
        <f t="shared" si="3"/>
        <v>-4.3195000000000032</v>
      </c>
    </row>
    <row r="29" spans="1:5" x14ac:dyDescent="0.3">
      <c r="A29" s="1">
        <f t="shared" si="4"/>
        <v>1.0000000000000002</v>
      </c>
      <c r="B29" s="1">
        <f t="shared" si="0"/>
        <v>-2.905000000000002</v>
      </c>
      <c r="C29" s="1">
        <f t="shared" si="1"/>
        <v>9.4999999999998863E-2</v>
      </c>
      <c r="D29" s="1">
        <f t="shared" si="2"/>
        <v>-9.8100000000000023</v>
      </c>
      <c r="E29" s="1">
        <f t="shared" si="3"/>
        <v>-4.8100000000000023</v>
      </c>
    </row>
    <row r="30" spans="1:5" x14ac:dyDescent="0.3">
      <c r="A30" s="1">
        <f t="shared" si="4"/>
        <v>1.0500000000000003</v>
      </c>
      <c r="B30" s="1">
        <f t="shared" si="0"/>
        <v>-3.4077625000000022</v>
      </c>
      <c r="C30" s="1">
        <f t="shared" si="1"/>
        <v>-0.15776250000000047</v>
      </c>
      <c r="D30" s="1">
        <f t="shared" si="2"/>
        <v>-10.300500000000003</v>
      </c>
      <c r="E30" s="1">
        <f t="shared" si="3"/>
        <v>-5.3005000000000031</v>
      </c>
    </row>
    <row r="31" spans="1:5" x14ac:dyDescent="0.3">
      <c r="A31" s="1">
        <f t="shared" si="4"/>
        <v>1.1000000000000003</v>
      </c>
      <c r="B31" s="1">
        <f t="shared" si="0"/>
        <v>-3.935050000000003</v>
      </c>
      <c r="C31" s="1">
        <f t="shared" si="1"/>
        <v>-0.43505000000000127</v>
      </c>
      <c r="D31" s="1">
        <f t="shared" si="2"/>
        <v>-10.791000000000004</v>
      </c>
      <c r="E31" s="1">
        <f t="shared" si="3"/>
        <v>-5.7910000000000039</v>
      </c>
    </row>
    <row r="32" spans="1:5" x14ac:dyDescent="0.3">
      <c r="A32" s="1">
        <f t="shared" si="4"/>
        <v>1.1500000000000004</v>
      </c>
      <c r="B32" s="1">
        <f t="shared" si="0"/>
        <v>-4.4868625000000044</v>
      </c>
      <c r="C32" s="1">
        <f t="shared" si="1"/>
        <v>-0.73686250000000264</v>
      </c>
      <c r="D32" s="1">
        <f t="shared" si="2"/>
        <v>-11.281500000000005</v>
      </c>
      <c r="E32" s="1">
        <f t="shared" si="3"/>
        <v>-6.2815000000000047</v>
      </c>
    </row>
    <row r="33" spans="1:5" x14ac:dyDescent="0.3">
      <c r="A33" s="1">
        <f t="shared" si="4"/>
        <v>1.2000000000000004</v>
      </c>
      <c r="B33" s="1">
        <f t="shared" si="0"/>
        <v>-5.0632000000000055</v>
      </c>
      <c r="C33" s="1">
        <f t="shared" si="1"/>
        <v>-1.0632000000000037</v>
      </c>
      <c r="D33" s="1">
        <f t="shared" si="2"/>
        <v>-11.772000000000004</v>
      </c>
      <c r="E33" s="1">
        <f t="shared" si="3"/>
        <v>-6.7720000000000038</v>
      </c>
    </row>
    <row r="34" spans="1:5" x14ac:dyDescent="0.3">
      <c r="A34" s="1">
        <f t="shared" si="4"/>
        <v>1.2500000000000004</v>
      </c>
      <c r="B34" s="1">
        <f t="shared" si="0"/>
        <v>-5.6640625000000062</v>
      </c>
      <c r="C34" s="1">
        <f t="shared" si="1"/>
        <v>-1.4140625000000044</v>
      </c>
      <c r="D34" s="1">
        <f t="shared" si="2"/>
        <v>-12.262500000000005</v>
      </c>
      <c r="E34" s="1">
        <f t="shared" si="3"/>
        <v>-7.2625000000000046</v>
      </c>
    </row>
    <row r="35" spans="1:5" x14ac:dyDescent="0.3">
      <c r="A35" s="1">
        <f t="shared" si="4"/>
        <v>1.3000000000000005</v>
      </c>
      <c r="B35" s="1">
        <f t="shared" si="0"/>
        <v>-6.2894500000000075</v>
      </c>
      <c r="C35" s="1">
        <f t="shared" si="1"/>
        <v>-1.7894500000000049</v>
      </c>
      <c r="D35" s="1">
        <f t="shared" si="2"/>
        <v>-12.753000000000005</v>
      </c>
      <c r="E35" s="1">
        <f t="shared" si="3"/>
        <v>-7.7530000000000054</v>
      </c>
    </row>
    <row r="36" spans="1:5" x14ac:dyDescent="0.3">
      <c r="A36" s="1">
        <f t="shared" si="4"/>
        <v>1.3500000000000005</v>
      </c>
      <c r="B36" s="1">
        <f t="shared" si="0"/>
        <v>-6.9393625000000068</v>
      </c>
      <c r="C36" s="1">
        <f t="shared" si="1"/>
        <v>-2.1893625000000041</v>
      </c>
      <c r="D36" s="1">
        <f t="shared" si="2"/>
        <v>-13.243500000000006</v>
      </c>
      <c r="E36" s="1">
        <f t="shared" si="3"/>
        <v>-8.2435000000000063</v>
      </c>
    </row>
    <row r="37" spans="1:5" x14ac:dyDescent="0.3">
      <c r="A37" s="1">
        <f t="shared" si="4"/>
        <v>1.4000000000000006</v>
      </c>
      <c r="B37" s="1">
        <f t="shared" si="0"/>
        <v>-7.6138000000000083</v>
      </c>
      <c r="C37" s="1">
        <f t="shared" si="1"/>
        <v>-2.6138000000000057</v>
      </c>
      <c r="D37" s="1">
        <f t="shared" si="2"/>
        <v>-13.734000000000007</v>
      </c>
      <c r="E37" s="1">
        <f t="shared" si="3"/>
        <v>-8.7340000000000071</v>
      </c>
    </row>
    <row r="38" spans="1:5" x14ac:dyDescent="0.3">
      <c r="A38" s="1">
        <f t="shared" si="4"/>
        <v>1.4500000000000006</v>
      </c>
      <c r="B38" s="1">
        <f t="shared" si="0"/>
        <v>-8.3127625000000087</v>
      </c>
      <c r="C38" s="1">
        <f t="shared" si="1"/>
        <v>-3.0627625000000052</v>
      </c>
      <c r="D38" s="1">
        <f t="shared" si="2"/>
        <v>-14.224500000000006</v>
      </c>
      <c r="E38" s="1">
        <f t="shared" si="3"/>
        <v>-9.2245000000000061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6</vt:i4>
      </vt:variant>
    </vt:vector>
  </HeadingPairs>
  <TitlesOfParts>
    <vt:vector size="7" baseType="lpstr">
      <vt:lpstr>Sheet1</vt:lpstr>
      <vt:lpstr>dt</vt:lpstr>
      <vt:lpstr>g</vt:lpstr>
      <vt:lpstr>v0A</vt:lpstr>
      <vt:lpstr>v0B</vt:lpstr>
      <vt:lpstr>y0A</vt:lpstr>
      <vt:lpstr>y0B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Gonçalves</dc:creator>
  <cp:lastModifiedBy>José Gonçalves</cp:lastModifiedBy>
  <dcterms:created xsi:type="dcterms:W3CDTF">2015-06-05T18:17:20Z</dcterms:created>
  <dcterms:modified xsi:type="dcterms:W3CDTF">2024-11-07T17:15:53Z</dcterms:modified>
</cp:coreProperties>
</file>